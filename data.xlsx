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amkhanh/Downloads/"/>
    </mc:Choice>
  </mc:AlternateContent>
  <xr:revisionPtr revIDLastSave="0" documentId="8_{0C82801A-14C0-8244-A7F9-984732C9734F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Trang 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0" i="1" l="1"/>
  <c r="B247" i="1"/>
  <c r="B241" i="1"/>
  <c r="B238" i="1"/>
  <c r="B235" i="1"/>
  <c r="B229" i="1"/>
  <c r="B226" i="1"/>
  <c r="B223" i="1"/>
  <c r="B220" i="1"/>
  <c r="B217" i="1"/>
  <c r="B214" i="1"/>
  <c r="B211" i="1"/>
  <c r="B205" i="1"/>
  <c r="B202" i="1"/>
  <c r="B199" i="1"/>
  <c r="B193" i="1"/>
  <c r="B190" i="1"/>
  <c r="B187" i="1"/>
  <c r="B181" i="1"/>
  <c r="B178" i="1"/>
  <c r="B175" i="1"/>
  <c r="B172" i="1"/>
  <c r="B169" i="1"/>
  <c r="B166" i="1"/>
  <c r="B160" i="1"/>
  <c r="B163" i="1" s="1"/>
  <c r="B148" i="1"/>
  <c r="B145" i="1"/>
  <c r="B142" i="1"/>
  <c r="B139" i="1"/>
  <c r="B136" i="1"/>
  <c r="B133" i="1"/>
  <c r="B130" i="1"/>
  <c r="B127" i="1"/>
  <c r="B124" i="1"/>
  <c r="B121" i="1"/>
  <c r="B118" i="1"/>
  <c r="B115" i="1"/>
  <c r="B112" i="1"/>
  <c r="B109" i="1"/>
  <c r="B106" i="1"/>
  <c r="B103" i="1"/>
  <c r="B100" i="1"/>
  <c r="B97" i="1"/>
  <c r="B88" i="1"/>
  <c r="B76" i="1"/>
  <c r="B79" i="1" s="1"/>
  <c r="B82" i="1" s="1"/>
  <c r="B64" i="1"/>
  <c r="B67" i="1" s="1"/>
  <c r="B52" i="1"/>
  <c r="B40" i="1"/>
  <c r="B28" i="1"/>
  <c r="B16" i="1"/>
  <c r="B4" i="1"/>
  <c r="B7" i="1" s="1"/>
  <c r="B19" i="1" l="1"/>
  <c r="B43" i="1"/>
  <c r="B49" i="1" s="1"/>
  <c r="B85" i="1"/>
  <c r="B22" i="1"/>
  <c r="B46" i="1"/>
  <c r="B70" i="1"/>
  <c r="B91" i="1"/>
  <c r="B94" i="1" s="1"/>
  <c r="B53" i="1"/>
  <c r="B54" i="1" s="1"/>
  <c r="B10" i="1"/>
  <c r="B11" i="1" s="1"/>
  <c r="B31" i="1"/>
  <c r="B25" i="1" l="1"/>
  <c r="B55" i="1"/>
  <c r="B58" i="1"/>
  <c r="B73" i="1"/>
  <c r="B34" i="1"/>
  <c r="B37" i="1" s="1"/>
  <c r="B13" i="1"/>
  <c r="B61" i="1"/>
</calcChain>
</file>

<file path=xl/sharedStrings.xml><?xml version="1.0" encoding="utf-8"?>
<sst xmlns="http://schemas.openxmlformats.org/spreadsheetml/2006/main" count="2" uniqueCount="2">
  <si>
    <t>Thời gian</t>
  </si>
  <si>
    <t>Tổng Sản Lượng Thủy Sản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</si>
</sst>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yyyy"/>
  </numFmts>
  <fonts count="4" x14ac:knownFonts="1">
    <font>
      <sz val="10"/>
      <color rgb="FF000000"/>
      <name val="Arial"/>
      <scheme val="minor"/>
    </font>
    <font>
      <sz val="13"/>
      <color rgb="FF000000"/>
      <name val="Arial"/>
      <family val="2"/>
    </font>
    <font>
      <sz val="13"/>
      <color theme="1"/>
      <name val="Arial"/>
      <family val="2"/>
    </font>
    <font>
      <sz val="13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4" fontId="3" fillId="2" borderId="0" xfId="0" applyNumberFormat="1" applyFont="1" applyFill="1" applyAlignment="1">
      <alignment horizontal="center"/>
    </xf>
    <xf numFmtId="3" fontId="3" fillId="2" borderId="0" xfId="0" applyNumberFormat="1" applyFont="1" applyFill="1" applyAlignment="1">
      <alignment horizontal="center"/>
    </xf>
    <xf numFmtId="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40"/>
  <sheetViews>
    <sheetView tabSelected="1" workbookViewId="0">
      <selection activeCell="B54" sqref="A1:B252"/>
    </sheetView>
  </sheetViews>
  <sheetFormatPr baseColWidth="10" defaultColWidth="12.6640625" defaultRowHeight="15.75" customHeight="1" x14ac:dyDescent="0.15"/>
  <cols>
    <col min="2" max="2" width="20" customWidth="1"/>
    <col min="3" max="3" width="18.1640625" customWidth="1"/>
    <col min="4" max="4" width="14.1640625" customWidth="1"/>
  </cols>
  <sheetData>
    <row r="1" spans="1:26" x14ac:dyDescent="0.2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">
        <v>38353</v>
      </c>
      <c r="B2" s="1">
        <v>237.7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3">
        <v>38384</v>
      </c>
      <c r="B3" s="1">
        <v>261.7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3">
        <v>38412</v>
      </c>
      <c r="B4" s="1">
        <f>779-B3-B2</f>
        <v>279.59999999999997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3">
        <v>38443</v>
      </c>
      <c r="B5" s="1">
        <v>283.89999999999998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3">
        <v>38473</v>
      </c>
      <c r="B6" s="1">
        <v>257.89999999999998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3">
        <v>38504</v>
      </c>
      <c r="B7" s="1">
        <f>1542-B6-B5-B4-B3-B2</f>
        <v>221.19999999999993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3">
        <v>38534</v>
      </c>
      <c r="B8" s="1">
        <v>299.2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3">
        <v>38565</v>
      </c>
      <c r="B9" s="1">
        <v>317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3">
        <v>38596</v>
      </c>
      <c r="B10" s="1">
        <f>2494-B9-B8-B4-B3-B2-B7-B6-B5</f>
        <v>335.80000000000007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3">
        <v>38626</v>
      </c>
      <c r="B11" s="1">
        <f>2793-SUM(B2:B10)</f>
        <v>299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3">
        <v>38657</v>
      </c>
      <c r="B12" s="1">
        <v>304.7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3">
        <v>38687</v>
      </c>
      <c r="B13" s="1">
        <f>3432.8-SUM(B2:B12)</f>
        <v>335.10000000000036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3">
        <v>38718</v>
      </c>
      <c r="B14" s="1">
        <v>292.10000000000002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3">
        <v>38749</v>
      </c>
      <c r="B15" s="1">
        <v>276.8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3">
        <v>38777</v>
      </c>
      <c r="B16" s="1">
        <f>828-B15-B14</f>
        <v>259.10000000000002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3">
        <v>38808</v>
      </c>
      <c r="B17" s="1">
        <v>298.3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3">
        <v>38838</v>
      </c>
      <c r="B18" s="1">
        <v>273.10000000000002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3">
        <v>38869</v>
      </c>
      <c r="B19" s="1">
        <f>1697.3-SUM(B14:B18)</f>
        <v>297.89999999999986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3">
        <v>38899</v>
      </c>
      <c r="B20" s="1">
        <v>324.39999999999998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3">
        <v>38930</v>
      </c>
      <c r="B21" s="1">
        <v>346.6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3">
        <v>38961</v>
      </c>
      <c r="B22" s="1">
        <f>2696.9-SUM(B14:B21)</f>
        <v>328.60000000000036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3">
        <v>38991</v>
      </c>
      <c r="B23" s="1">
        <v>348.8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3">
        <v>39022</v>
      </c>
      <c r="B24" s="1">
        <v>334.7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3">
        <v>39052</v>
      </c>
      <c r="B25" s="1">
        <f>3695.9-SUM(B14:B24)</f>
        <v>315.5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3">
        <v>39083</v>
      </c>
      <c r="B26" s="4">
        <v>296.2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3">
        <v>39114</v>
      </c>
      <c r="B27" s="1">
        <v>279.5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3">
        <v>39142</v>
      </c>
      <c r="B28" s="1">
        <f>884.2-SUM(B26:B27)</f>
        <v>308.5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3">
        <v>39173</v>
      </c>
      <c r="B29" s="1">
        <v>322.10000000000002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3">
        <v>39203</v>
      </c>
      <c r="B30" s="1">
        <v>306.5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3">
        <v>39234</v>
      </c>
      <c r="B31" s="1">
        <f>1849.5-SUM(B26:B30)</f>
        <v>336.69999999999982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3">
        <v>39264</v>
      </c>
      <c r="B32" s="1">
        <v>368.4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3">
        <v>39295</v>
      </c>
      <c r="B33" s="1">
        <v>379.7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3">
        <v>39326</v>
      </c>
      <c r="B34" s="1">
        <f>2996-SUM(B26:B33)</f>
        <v>398.40000000000009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3">
        <v>39356</v>
      </c>
      <c r="B35" s="1">
        <v>386.4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3">
        <v>39387</v>
      </c>
      <c r="B36" s="1">
        <v>389.9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3">
        <v>39417</v>
      </c>
      <c r="B37" s="1">
        <f>4149-SUM(B26:B36)</f>
        <v>376.69999999999982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3">
        <v>39448</v>
      </c>
      <c r="B38" s="1">
        <v>331.1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3">
        <v>39479</v>
      </c>
      <c r="B39" s="1">
        <v>326.10000000000002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3">
        <v>39508</v>
      </c>
      <c r="B40" s="1">
        <f>977.7-SUM(B38:B39)</f>
        <v>320.5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3">
        <v>39539</v>
      </c>
      <c r="B41" s="1">
        <v>322.3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3">
        <v>39569</v>
      </c>
      <c r="B42" s="1">
        <v>338.8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3">
        <v>39600</v>
      </c>
      <c r="B43" s="1">
        <f>2124-SUM(B38:B42)</f>
        <v>485.20000000000005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3">
        <v>39630</v>
      </c>
      <c r="B44" s="1">
        <v>427.5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3">
        <v>39661</v>
      </c>
      <c r="B45" s="1">
        <v>450.1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3">
        <v>39692</v>
      </c>
      <c r="B46" s="1">
        <f>3408.5-SUM(B38:B45)</f>
        <v>406.90000000000009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3">
        <v>39722</v>
      </c>
      <c r="B47" s="1">
        <v>402.3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3">
        <v>39753</v>
      </c>
      <c r="B48" s="1">
        <v>408.9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3">
        <v>39783</v>
      </c>
      <c r="B49" s="1">
        <f>4582.9-SUM(B38:B48)</f>
        <v>363.19999999999982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3">
        <v>39814</v>
      </c>
      <c r="B50" s="1">
        <v>335.6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3">
        <v>39845</v>
      </c>
      <c r="B51" s="1">
        <v>334.1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3">
        <v>39873</v>
      </c>
      <c r="B52" s="1">
        <f>1028.1-SUM(B50:B51)</f>
        <v>358.39999999999986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3">
        <v>39904</v>
      </c>
      <c r="B53" s="1">
        <f>1383.1-SUM(B50:B52)</f>
        <v>355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3">
        <v>39934</v>
      </c>
      <c r="B54" s="1">
        <f>1736.6-SUM(B50:B53)</f>
        <v>353.5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3">
        <v>39965</v>
      </c>
      <c r="B55" s="1">
        <f>2287.6-SUM(B50:B54)</f>
        <v>551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3">
        <v>39995</v>
      </c>
      <c r="B56" s="1">
        <v>450.2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3">
        <v>40026</v>
      </c>
      <c r="B57" s="1">
        <v>464.4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3">
        <v>40057</v>
      </c>
      <c r="B58" s="1">
        <f>3623.3-SUM(B50:B57)</f>
        <v>421.10000000000036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3">
        <v>40087</v>
      </c>
      <c r="B59" s="1">
        <v>397.3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3">
        <v>40118</v>
      </c>
      <c r="B60" s="1">
        <v>397.9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3">
        <v>40148</v>
      </c>
      <c r="B61" s="1">
        <f>4847.6-SUM(B50:B60)</f>
        <v>429.10000000000036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3">
        <v>40179</v>
      </c>
      <c r="B62" s="1">
        <v>352.3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3">
        <v>40210</v>
      </c>
      <c r="B63" s="1">
        <v>347.2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3">
        <v>40238</v>
      </c>
      <c r="B64" s="1">
        <f>1067.7-B63-B62</f>
        <v>368.2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3">
        <v>40269</v>
      </c>
      <c r="B65" s="1">
        <v>380.3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3">
        <v>40299</v>
      </c>
      <c r="B66" s="1">
        <v>376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3">
        <v>40330</v>
      </c>
      <c r="B67" s="4">
        <f>2429.8-SUM(B62:B66)</f>
        <v>605.80000000000018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3">
        <v>40360</v>
      </c>
      <c r="B68" s="4">
        <v>464.8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3">
        <v>40391</v>
      </c>
      <c r="B69" s="4">
        <v>454.4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3">
        <v>40422</v>
      </c>
      <c r="B70" s="4">
        <f>3794-SUM(B62:B69)</f>
        <v>444.99999999999955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3">
        <v>40452</v>
      </c>
      <c r="B71" s="4">
        <v>447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3">
        <v>40483</v>
      </c>
      <c r="B72" s="4">
        <v>442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3">
        <v>40513</v>
      </c>
      <c r="B73" s="4">
        <f>5127.6-SUM(B62:B72)</f>
        <v>444.60000000000036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3">
        <v>40544</v>
      </c>
      <c r="B74" s="4">
        <v>356.4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3">
        <v>40575</v>
      </c>
      <c r="B75" s="4">
        <v>355.4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3">
        <v>40603</v>
      </c>
      <c r="B76" s="4">
        <f>1101.1-B75-B74</f>
        <v>389.29999999999995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3">
        <v>40634</v>
      </c>
      <c r="B77" s="4">
        <v>396.3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3">
        <v>40664</v>
      </c>
      <c r="B78" s="4">
        <v>493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3">
        <v>40695</v>
      </c>
      <c r="B79" s="4">
        <f>2510.8-SUM(B74:B78)</f>
        <v>520.40000000000032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3">
        <v>40725</v>
      </c>
      <c r="B80" s="4">
        <v>484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3">
        <v>40756</v>
      </c>
      <c r="B81" s="4">
        <v>475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3">
        <v>40787</v>
      </c>
      <c r="B82" s="4">
        <f>4082-SUM(B74:B81)</f>
        <v>612.19999999999982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3">
        <v>40817</v>
      </c>
      <c r="B83" s="4">
        <v>467.2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3">
        <v>40848</v>
      </c>
      <c r="B84" s="4">
        <v>460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3">
        <v>40878</v>
      </c>
      <c r="B85" s="4">
        <f>5432.9-SUM(B74:B84)</f>
        <v>423.69999999999982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3">
        <v>40909</v>
      </c>
      <c r="B86" s="4">
        <v>364.2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3">
        <v>40940</v>
      </c>
      <c r="B87" s="4">
        <v>375.1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3">
        <v>40969</v>
      </c>
      <c r="B88" s="4">
        <f>1138.2-SUM(B86:B87)</f>
        <v>398.90000000000009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3">
        <v>41000</v>
      </c>
      <c r="B89" s="4">
        <v>408.2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3">
        <v>41030</v>
      </c>
      <c r="B90" s="4">
        <v>528.1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3">
        <v>41061</v>
      </c>
      <c r="B91" s="4">
        <f>2649.2-SUM(B86:B90)</f>
        <v>574.69999999999982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3">
        <v>41091</v>
      </c>
      <c r="B92" s="4">
        <v>531.29999999999995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3">
        <v>41122</v>
      </c>
      <c r="B93" s="4">
        <v>483.5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3">
        <v>41153</v>
      </c>
      <c r="B94" s="4">
        <f>4337-SUM(B86:B93)</f>
        <v>673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3">
        <v>41183</v>
      </c>
      <c r="B95" s="4">
        <v>499.3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3">
        <v>41214</v>
      </c>
      <c r="B96" s="4">
        <v>497.5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3">
        <v>41244</v>
      </c>
      <c r="B97" s="4">
        <f>5732.9-5333.8</f>
        <v>399.09999999999945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3">
        <v>41275</v>
      </c>
      <c r="B98" s="4">
        <v>376.1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3">
        <v>41306</v>
      </c>
      <c r="B99" s="4">
        <v>346.4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3">
        <v>41334</v>
      </c>
      <c r="B100" s="4">
        <f>1151-722.5</f>
        <v>428.5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3">
        <v>41365</v>
      </c>
      <c r="B101" s="4">
        <v>409.8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3">
        <v>41395</v>
      </c>
      <c r="B102" s="4">
        <v>529.5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3">
        <v>41426</v>
      </c>
      <c r="B103" s="4">
        <f>2737-2090.3</f>
        <v>646.69999999999982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3">
        <v>41456</v>
      </c>
      <c r="B104" s="4">
        <v>546.20000000000005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3">
        <v>41487</v>
      </c>
      <c r="B105" s="4">
        <v>506.9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3">
        <v>41518</v>
      </c>
      <c r="B106" s="4">
        <f>4496-SUM(B98:B105)</f>
        <v>705.90000000000009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3">
        <v>41548</v>
      </c>
      <c r="B107" s="4">
        <v>506.3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3">
        <v>41579</v>
      </c>
      <c r="B108" s="4">
        <v>482.5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3">
        <v>41609</v>
      </c>
      <c r="B109" s="4">
        <f>5918.6-5484.8</f>
        <v>433.80000000000018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3">
        <v>41640</v>
      </c>
      <c r="B110" s="4">
        <v>399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3">
        <v>41671</v>
      </c>
      <c r="B111" s="4">
        <v>369.7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3">
        <v>41699</v>
      </c>
      <c r="B112" s="4">
        <f>1185.2-768.8</f>
        <v>416.40000000000009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3">
        <v>41730</v>
      </c>
      <c r="B113" s="4">
        <v>423.2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3">
        <v>41760</v>
      </c>
      <c r="B114" s="4">
        <v>554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3">
        <v>41791</v>
      </c>
      <c r="B115" s="4">
        <f>2866.5-2162.4</f>
        <v>704.09999999999991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3">
        <v>41821</v>
      </c>
      <c r="B116" s="4">
        <v>595.9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3">
        <v>41852</v>
      </c>
      <c r="B117" s="4">
        <v>544.20000000000005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3">
        <v>41883</v>
      </c>
      <c r="B118" s="4">
        <f>4738.7-4006.6</f>
        <v>732.09999999999991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3">
        <v>41913</v>
      </c>
      <c r="B119" s="4">
        <v>526.79999999999995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3">
        <v>41944</v>
      </c>
      <c r="B120" s="4">
        <v>471.4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3">
        <v>41974</v>
      </c>
      <c r="B121" s="4">
        <f>6332.5-5736.9</f>
        <v>595.60000000000036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3">
        <v>42005</v>
      </c>
      <c r="B122" s="4">
        <v>412.4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3">
        <v>42036</v>
      </c>
      <c r="B123" s="4">
        <v>380.6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3">
        <v>42064</v>
      </c>
      <c r="B124" s="4">
        <f>1223.1-793</f>
        <v>430.09999999999991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3">
        <v>42095</v>
      </c>
      <c r="B125" s="4">
        <v>563.20000000000005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3">
        <v>42125</v>
      </c>
      <c r="B126" s="4">
        <v>619.70000000000005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3">
        <v>42156</v>
      </c>
      <c r="B127" s="4">
        <f>3071.5-2406</f>
        <v>665.5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3">
        <v>42186</v>
      </c>
      <c r="B128" s="4">
        <v>597.6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3">
        <v>42217</v>
      </c>
      <c r="B129" s="4">
        <v>590.20000000000005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3">
        <v>42248</v>
      </c>
      <c r="B130" s="4">
        <f>4846.6-4259.3</f>
        <v>587.30000000000018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3">
        <v>42278</v>
      </c>
      <c r="B131" s="4">
        <v>553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3">
        <v>42309</v>
      </c>
      <c r="B132" s="4">
        <v>490.2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3">
        <v>42339</v>
      </c>
      <c r="B133" s="4">
        <f>6549.7-5889.8</f>
        <v>659.89999999999964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3">
        <v>42370</v>
      </c>
      <c r="B134" s="4">
        <v>428.5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3">
        <v>42401</v>
      </c>
      <c r="B135" s="4">
        <v>401.8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3">
        <v>42430</v>
      </c>
      <c r="B136" s="4">
        <f>1271.7-401.8-428.5</f>
        <v>441.40000000000009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3">
        <v>42461</v>
      </c>
      <c r="B137" s="4">
        <v>569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3">
        <v>42491</v>
      </c>
      <c r="B138" s="4">
        <v>614.20000000000005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3">
        <v>42522</v>
      </c>
      <c r="B139" s="4">
        <f>3131.3-1271.7-569-614.2</f>
        <v>676.40000000000009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3">
        <v>42552</v>
      </c>
      <c r="B140" s="4">
        <v>614.29999999999995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3">
        <v>42583</v>
      </c>
      <c r="B141" s="4">
        <v>589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3">
        <v>42614</v>
      </c>
      <c r="B142" s="4">
        <f>4937.6-589-614.3-3131.3</f>
        <v>603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3">
        <v>42644</v>
      </c>
      <c r="B143" s="4">
        <v>558.1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3">
        <v>42675</v>
      </c>
      <c r="B144" s="4">
        <v>558.5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3">
        <v>42705</v>
      </c>
      <c r="B145" s="5">
        <f>6728.6-6054.2</f>
        <v>674.40000000000055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3">
        <v>42736</v>
      </c>
      <c r="B146" s="4">
        <v>427.2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3">
        <v>42767</v>
      </c>
      <c r="B147" s="4">
        <v>423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3">
        <v>42795</v>
      </c>
      <c r="B148" s="5">
        <f>1320.8-B146-B147</f>
        <v>470.59999999999991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3">
        <v>42826</v>
      </c>
      <c r="B149" s="4">
        <v>581.4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3">
        <v>42856</v>
      </c>
      <c r="B150" s="1">
        <v>692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3">
        <v>42887</v>
      </c>
      <c r="B151" s="5">
        <v>734.6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3">
        <v>42917</v>
      </c>
      <c r="B152" s="4">
        <v>677.4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3">
        <v>42948</v>
      </c>
      <c r="B153" s="4">
        <v>730.5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3">
        <v>42979</v>
      </c>
      <c r="B154" s="5">
        <v>389.2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3">
        <v>43009</v>
      </c>
      <c r="B155" s="4">
        <v>677.3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3">
        <v>43040</v>
      </c>
      <c r="B156" s="4">
        <v>677.6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3">
        <v>43070</v>
      </c>
      <c r="B157" s="6">
        <v>744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3">
        <v>43101</v>
      </c>
      <c r="B158" s="4">
        <v>525.70000000000005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3">
        <v>43132</v>
      </c>
      <c r="B159" s="4">
        <v>523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3">
        <v>43160</v>
      </c>
      <c r="B160" s="5">
        <f>1386.4-B159-B158</f>
        <v>337.70000000000005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3">
        <v>43191</v>
      </c>
      <c r="B161" s="4">
        <v>704.2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3">
        <v>43221</v>
      </c>
      <c r="B162" s="4">
        <v>654.29999999999995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3">
        <v>43252</v>
      </c>
      <c r="B163" s="5">
        <f>3561.1-B162-B161-B160-B159-B158</f>
        <v>816.20000000000027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3">
        <v>43282</v>
      </c>
      <c r="B164" s="4">
        <v>713.1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3">
        <v>43313</v>
      </c>
      <c r="B165" s="4">
        <v>683.6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3">
        <v>43344</v>
      </c>
      <c r="B166" s="6">
        <f>1939-B165-B164</f>
        <v>542.30000000000007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3">
        <v>43374</v>
      </c>
      <c r="B167" s="4">
        <v>671.7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3">
        <v>43405</v>
      </c>
      <c r="B168" s="4">
        <v>684.4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3">
        <v>43435</v>
      </c>
      <c r="B169" s="5">
        <f>2106.4-B168-B167</f>
        <v>750.3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3">
        <v>43466</v>
      </c>
      <c r="B170" s="4">
        <v>498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3">
        <v>43497</v>
      </c>
      <c r="B171" s="4">
        <v>490.3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3">
        <v>43525</v>
      </c>
      <c r="B172" s="5">
        <f>1466.7-B171-B170</f>
        <v>478.40000000000009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3">
        <v>43556</v>
      </c>
      <c r="B173" s="4">
        <v>689.8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3">
        <v>43586</v>
      </c>
      <c r="B174" s="4">
        <v>764.1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3">
        <v>43617</v>
      </c>
      <c r="B175" s="5">
        <f>2311.5-B174-B173</f>
        <v>857.60000000000014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3">
        <v>43647</v>
      </c>
      <c r="B176" s="4">
        <v>740.5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3">
        <v>43678</v>
      </c>
      <c r="B177" s="4">
        <v>712.6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3">
        <v>43709</v>
      </c>
      <c r="B178" s="5">
        <f>2190.6-B177-B176</f>
        <v>737.5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3">
        <v>43739</v>
      </c>
      <c r="B179" s="4">
        <v>733.8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3">
        <v>43770</v>
      </c>
      <c r="B180" s="4">
        <v>763.8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3">
        <v>43800</v>
      </c>
      <c r="B181" s="5">
        <f>2231.4-B180-B179</f>
        <v>733.80000000000018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3">
        <v>43831</v>
      </c>
      <c r="B182" s="4">
        <v>502.3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3">
        <v>43862</v>
      </c>
      <c r="B183" s="4">
        <v>501.9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3">
        <v>43891</v>
      </c>
      <c r="B184" s="4">
        <v>502.2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3">
        <v>43922</v>
      </c>
      <c r="B185" s="4">
        <v>697.8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3">
        <v>43952</v>
      </c>
      <c r="B186" s="4">
        <v>797.5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3">
        <v>43983</v>
      </c>
      <c r="B187" s="5">
        <f>2360.9-B186-B185</f>
        <v>865.60000000000014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3">
        <v>44013</v>
      </c>
      <c r="B188" s="4">
        <v>783.3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3">
        <v>44044</v>
      </c>
      <c r="B189" s="4">
        <v>741.8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3">
        <v>44075</v>
      </c>
      <c r="B190" s="5">
        <f>2261.6-B189-B188</f>
        <v>736.5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3">
        <v>44105</v>
      </c>
      <c r="B191" s="4">
        <v>786.9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3">
        <v>44136</v>
      </c>
      <c r="B192" s="4">
        <v>733.8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3">
        <v>44166</v>
      </c>
      <c r="B193" s="5">
        <f>2286.6-B192-B191</f>
        <v>765.9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3">
        <v>44197</v>
      </c>
      <c r="B194" s="4">
        <v>497.9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3">
        <v>44228</v>
      </c>
      <c r="B195" s="4">
        <v>573.79999999999995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3">
        <v>44256</v>
      </c>
      <c r="B196" s="4">
        <v>683.9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3">
        <v>44287</v>
      </c>
      <c r="B197" s="4">
        <v>687.2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3">
        <v>44317</v>
      </c>
      <c r="B198" s="4">
        <v>782.8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3">
        <v>44348</v>
      </c>
      <c r="B199" s="5">
        <f>2269.6-B198-B197</f>
        <v>799.59999999999991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3">
        <v>44378</v>
      </c>
      <c r="B200" s="4">
        <v>804.1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3">
        <v>44409</v>
      </c>
      <c r="B201" s="4">
        <v>801.4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3">
        <v>44440</v>
      </c>
      <c r="B202" s="5">
        <f>2281.4-B201-B200</f>
        <v>675.9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3">
        <v>44470</v>
      </c>
      <c r="B203" s="4">
        <v>798.1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3">
        <v>44501</v>
      </c>
      <c r="B204" s="4">
        <v>761.8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3">
        <v>44531</v>
      </c>
      <c r="B205" s="5">
        <f>2316.3-B204-B203</f>
        <v>756.4000000000002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3">
        <v>44562</v>
      </c>
      <c r="B206" s="4">
        <v>589.9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3">
        <v>44593</v>
      </c>
      <c r="B207" s="4">
        <v>578.5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3">
        <v>44621</v>
      </c>
      <c r="B208" s="4">
        <v>694.2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3">
        <v>44652</v>
      </c>
      <c r="B209" s="4">
        <v>736.4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3">
        <v>44682</v>
      </c>
      <c r="B210" s="4">
        <v>756.9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3">
        <v>44713</v>
      </c>
      <c r="B211" s="5">
        <f>2333.3-B210-B209</f>
        <v>840.00000000000011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3">
        <v>44743</v>
      </c>
      <c r="B212" s="4">
        <v>805.4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3">
        <v>44774</v>
      </c>
      <c r="B213" s="4">
        <v>794.5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3">
        <v>44805</v>
      </c>
      <c r="B214" s="6">
        <f>2406-B213-B212</f>
        <v>806.1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3">
        <v>44835</v>
      </c>
      <c r="B215" s="4">
        <v>815.9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3">
        <v>44866</v>
      </c>
      <c r="B216" s="4">
        <v>802.3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3">
        <v>44896</v>
      </c>
      <c r="B217" s="5">
        <f>2426.5-B216-B215</f>
        <v>808.30000000000007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3">
        <v>44927</v>
      </c>
      <c r="B218" s="4">
        <v>592.1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3">
        <v>44958</v>
      </c>
      <c r="B219" s="4">
        <v>593.4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3">
        <v>44986</v>
      </c>
      <c r="B220" s="5">
        <f>1889.2-B219-B218</f>
        <v>703.70000000000016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3">
        <v>45017</v>
      </c>
      <c r="B221" s="4">
        <v>747.8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3">
        <v>45047</v>
      </c>
      <c r="B222" s="4">
        <v>783.3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3">
        <v>45078</v>
      </c>
      <c r="B223" s="5">
        <f>2370.4-B222-B221</f>
        <v>839.30000000000018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3">
        <v>45108</v>
      </c>
      <c r="B224" s="4">
        <v>823.1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3">
        <v>45139</v>
      </c>
      <c r="B225" s="4">
        <v>837.4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3">
        <v>45170</v>
      </c>
      <c r="B226" s="5">
        <f>2520.2-B225-B224</f>
        <v>859.6999999999997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3">
        <v>45200</v>
      </c>
      <c r="B227" s="4">
        <v>848.5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3">
        <v>45231</v>
      </c>
      <c r="B228" s="4">
        <v>836.3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3">
        <v>45261</v>
      </c>
      <c r="B229" s="5">
        <f>2516.3-B228-B227</f>
        <v>831.50000000000023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3">
        <v>45292</v>
      </c>
      <c r="B230" s="4">
        <v>590.1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3">
        <v>45323</v>
      </c>
      <c r="B231" s="4">
        <v>621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3">
        <v>45352</v>
      </c>
      <c r="B232" s="4">
        <v>725.4</v>
      </c>
      <c r="C232" s="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3">
        <v>45383</v>
      </c>
      <c r="B233" s="4">
        <v>772.4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3">
        <v>45413</v>
      </c>
      <c r="B234" s="4">
        <v>801.3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3">
        <v>45444</v>
      </c>
      <c r="B235" s="5">
        <f>2439.5-B234-B233</f>
        <v>865.80000000000007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3">
        <v>45474</v>
      </c>
      <c r="B236" s="4">
        <v>841.1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3">
        <v>45505</v>
      </c>
      <c r="B237" s="4">
        <v>862.3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3">
        <v>45536</v>
      </c>
      <c r="B238" s="5">
        <f>2638.4-B237-B236</f>
        <v>935.00000000000011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3">
        <v>45566</v>
      </c>
      <c r="B239" s="4">
        <v>870.7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3">
        <v>45597</v>
      </c>
      <c r="B240" s="4">
        <v>864.8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3">
        <v>45627</v>
      </c>
      <c r="B241" s="5">
        <f>2524.5-B240-B239</f>
        <v>789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3">
        <v>45658</v>
      </c>
      <c r="B242" s="4">
        <v>594.1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3">
        <v>45689</v>
      </c>
      <c r="B243" s="4">
        <v>650.5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3">
        <v>45717</v>
      </c>
      <c r="B244" s="4">
        <v>750.5</v>
      </c>
      <c r="C244" s="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3">
        <v>45748</v>
      </c>
      <c r="B245" s="4">
        <v>794.4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3">
        <v>45778</v>
      </c>
      <c r="B246" s="4">
        <v>828.2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3">
        <v>45809</v>
      </c>
      <c r="B247" s="7">
        <f>2555.5-B246-B245</f>
        <v>932.9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3">
        <v>45839</v>
      </c>
      <c r="B248" s="8">
        <v>949.3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3">
        <v>45870</v>
      </c>
      <c r="B249" s="8">
        <v>916.4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3">
        <v>45901</v>
      </c>
      <c r="B250" s="7">
        <f>2710.9 -B249-B248</f>
        <v>845.2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3">
        <v>45931</v>
      </c>
      <c r="B251" s="8">
        <v>895.3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3">
        <v>45962</v>
      </c>
      <c r="B252" s="1">
        <v>904.5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Khánh Nam</cp:lastModifiedBy>
  <dcterms:created xsi:type="dcterms:W3CDTF">2025-12-11T17:36:05Z</dcterms:created>
  <dcterms:modified xsi:type="dcterms:W3CDTF">2025-12-11T17:36:05Z</dcterms:modified>
</cp:coreProperties>
</file>